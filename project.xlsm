
<file path=[Content_Types].xml><?xml version="1.0" encoding="utf-8"?>
<Types xmlns="http://schemas.openxmlformats.org/package/2006/content-types"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3D56C0D6-D837-40C7-9DFA-029B970403B2}" xr6:coauthVersionLast="47" xr6:coauthVersionMax="47" xr10:uidLastSave="{00000000-0000-0000-0000-000000000000}"/>
  <bookViews>
    <workbookView xWindow="-108" yWindow="-108" windowWidth="23256" windowHeight="12456" firstSheet="1" activeTab="6" xr2:uid="{EA563662-164F-4CD1-A458-AF8BCD03E51C}"/>
  </bookViews>
  <sheets>
    <sheet name="Monthly Revenue" sheetId="3" r:id="rId1"/>
    <sheet name="customers" sheetId="4" r:id="rId2"/>
    <sheet name="Category By Revenue" sheetId="5" r:id="rId3"/>
    <sheet name="Cities By Revenue" sheetId="6" r:id="rId4"/>
    <sheet name="Country By Revenue" sheetId="7" r:id="rId5"/>
    <sheet name="project" sheetId="1" r:id="rId6"/>
    <sheet name="Final_Project" sheetId="2" r:id="rId7"/>
  </sheets>
  <definedNames>
    <definedName name="_xlcn.WorksheetConnection_project.xlsmcategory_by_revenue1" hidden="1">category_by_revenue[]</definedName>
    <definedName name="_xlcn.WorksheetConnection_project.xlsmcities_by_revenue1" hidden="1">cities_by_revenue[]</definedName>
    <definedName name="_xlcn.WorksheetConnection_project.xlsmcountry_by_revenue1" hidden="1">country_by_revenue[]</definedName>
    <definedName name="_xlcn.WorksheetConnection_project.xlsmcustomers_by_revenue1" hidden="1">customers_by_revenue[]</definedName>
    <definedName name="_xlcn.WorksheetConnection_project.xlsmmonthly_revenue1" hidden="1">monthly_revenue[]</definedName>
    <definedName name="_xlcn.WorksheetConnection_project.xlsmtotal_revenue1" hidden="1">total_revenue[]</definedName>
  </definedNames>
  <calcPr calcId="0"/>
  <pivotCaches>
    <pivotCache cacheId="3" r:id="rId8"/>
    <pivotCache cacheId="7" r:id="rId9"/>
    <pivotCache cacheId="11" r:id="rId10"/>
    <pivotCache cacheId="15" r:id="rId11"/>
    <pivotCache cacheId="19" r:id="rId12"/>
  </pivotCaches>
  <extLst>
    <ext xmlns:x15="http://schemas.microsoft.com/office/spreadsheetml/2010/11/main" uri="{FCE2AD5D-F65C-4FA6-A056-5C36A1767C68}">
      <x15:dataModel>
        <x15:modelTables>
          <x15:modelTable id="monthly_revenue" name="monthly_revenue" connection="WorksheetConnection_project.xlsm!monthly_revenue"/>
          <x15:modelTable id="customers_by_revenue" name="customers_by_revenue" connection="WorksheetConnection_project.xlsm!customers_by_revenue"/>
          <x15:modelTable id="category_by_revenue" name="category_by_revenue" connection="WorksheetConnection_project.xlsm!category_by_revenue"/>
          <x15:modelTable id="cities_by_revenue" name="cities_by_revenue" connection="WorksheetConnection_project.xlsm!cities_by_revenue"/>
          <x15:modelTable id="country_by_revenue" name="country_by_revenue" connection="WorksheetConnection_project.xlsm!country_by_revenue"/>
          <x15:modelTable id="total_revenue" name="total_revenue" connection="WorksheetConnection_project.xlsm!total_revenue"/>
        </x15:modelTable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829ED6A-FD7F-43CD-BE6A-7C8CD44AB5B4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E0E66FC9-23D7-4896-9D00-6628DACF6EF6}" name="WorksheetConnection_project.xlsm!category_by_revenue" type="102" refreshedVersion="8" minRefreshableVersion="5">
    <extLst>
      <ext xmlns:x15="http://schemas.microsoft.com/office/spreadsheetml/2010/11/main" uri="{DE250136-89BD-433C-8126-D09CA5730AF9}">
        <x15:connection id="category_by_revenue">
          <x15:rangePr sourceName="_xlcn.WorksheetConnection_project.xlsmcategory_by_revenue1"/>
        </x15:connection>
      </ext>
    </extLst>
  </connection>
  <connection id="3" xr16:uid="{A00A87A9-E979-4DCB-9915-C98E0720A5A2}" name="WorksheetConnection_project.xlsm!cities_by_revenue" type="102" refreshedVersion="8" minRefreshableVersion="5">
    <extLst>
      <ext xmlns:x15="http://schemas.microsoft.com/office/spreadsheetml/2010/11/main" uri="{DE250136-89BD-433C-8126-D09CA5730AF9}">
        <x15:connection id="cities_by_revenue">
          <x15:rangePr sourceName="_xlcn.WorksheetConnection_project.xlsmcities_by_revenue1"/>
        </x15:connection>
      </ext>
    </extLst>
  </connection>
  <connection id="4" xr16:uid="{9EC0A715-8D23-4118-9FA5-23AA67633175}" name="WorksheetConnection_project.xlsm!country_by_revenue" type="102" refreshedVersion="8" minRefreshableVersion="5">
    <extLst>
      <ext xmlns:x15="http://schemas.microsoft.com/office/spreadsheetml/2010/11/main" uri="{DE250136-89BD-433C-8126-D09CA5730AF9}">
        <x15:connection id="country_by_revenue">
          <x15:rangePr sourceName="_xlcn.WorksheetConnection_project.xlsmcountry_by_revenue1"/>
        </x15:connection>
      </ext>
    </extLst>
  </connection>
  <connection id="5" xr16:uid="{3CF049B2-33F5-4110-94F3-5E90496B7905}" name="WorksheetConnection_project.xlsm!customers_by_revenue" type="102" refreshedVersion="8" minRefreshableVersion="5">
    <extLst>
      <ext xmlns:x15="http://schemas.microsoft.com/office/spreadsheetml/2010/11/main" uri="{DE250136-89BD-433C-8126-D09CA5730AF9}">
        <x15:connection id="customers_by_revenue">
          <x15:rangePr sourceName="_xlcn.WorksheetConnection_project.xlsmcustomers_by_revenue1"/>
        </x15:connection>
      </ext>
    </extLst>
  </connection>
  <connection id="6" xr16:uid="{6A0D0B84-E134-435E-AA98-D615EA72771D}" name="WorksheetConnection_project.xlsm!monthly_revenue" type="102" refreshedVersion="8" minRefreshableVersion="5">
    <extLst>
      <ext xmlns:x15="http://schemas.microsoft.com/office/spreadsheetml/2010/11/main" uri="{DE250136-89BD-433C-8126-D09CA5730AF9}">
        <x15:connection id="monthly_revenue">
          <x15:rangePr sourceName="_xlcn.WorksheetConnection_project.xlsmmonthly_revenue1"/>
        </x15:connection>
      </ext>
    </extLst>
  </connection>
  <connection id="7" xr16:uid="{9E51C24F-C469-4910-9543-FE488DA89CC1}" name="WorksheetConnection_project.xlsm!total_revenue" type="102" refreshedVersion="8" minRefreshableVersion="5">
    <extLst>
      <ext xmlns:x15="http://schemas.microsoft.com/office/spreadsheetml/2010/11/main" uri="{DE250136-89BD-433C-8126-D09CA5730AF9}">
        <x15:connection id="total_revenue">
          <x15:rangePr sourceName="_xlcn.WorksheetConnection_project.xlsmtotal_revenue1"/>
        </x15:connection>
      </ext>
    </extLst>
  </connection>
</connections>
</file>

<file path=xl/sharedStrings.xml><?xml version="1.0" encoding="utf-8"?>
<sst xmlns="http://schemas.openxmlformats.org/spreadsheetml/2006/main" count="150" uniqueCount="92">
  <si>
    <t>💰 Total Revenue</t>
  </si>
  <si>
    <t>ALL THE RESULTS ARE IN 2007</t>
  </si>
  <si>
    <t>SELECT SUM(amount) AS total_revenue
FROM payment;</t>
  </si>
  <si>
    <t>month</t>
  </si>
  <si>
    <t>monthly_revenue</t>
  </si>
  <si>
    <t xml:space="preserve">FEBRUARY </t>
  </si>
  <si>
    <t xml:space="preserve">MARCH    </t>
  </si>
  <si>
    <t xml:space="preserve">APRIL    </t>
  </si>
  <si>
    <t xml:space="preserve">MAY      </t>
  </si>
  <si>
    <t>SELECT TO_CHAR(payment_date,'MONTH') as Month,</t>
  </si>
  <si>
    <t>SUM(amount) AS monthly_revenue</t>
  </si>
  <si>
    <t>FROM payment</t>
  </si>
  <si>
    <t>GROUP BY month</t>
  </si>
  <si>
    <t>ORDER BY MIN(EXTRACT(MONTH FROM payment_date));</t>
  </si>
  <si>
    <t xml:space="preserve">SELECT first_name,last_name,customer.customer_id,amount
FROM customer
INNER JOIN payment
ON customer.customer_id = payment.customer_id
;
</t>
  </si>
  <si>
    <t>SELECT first_name,last_name,
COUNT(amount) AS number_of_payments,
SUM(amount) AS total_paid
FROM customer
INNER JOIN payment
ON customer.customer_id = payment.customer_id
GROUP BY first_name,last_name
ORDER BY SUM(amount) DESC
limit 10
;</t>
  </si>
  <si>
    <t>first_name</t>
  </si>
  <si>
    <t>last_name</t>
  </si>
  <si>
    <t>number_of_payments</t>
  </si>
  <si>
    <t>total_paid</t>
  </si>
  <si>
    <t>Eleanor</t>
  </si>
  <si>
    <t>Hunt</t>
  </si>
  <si>
    <t>Karl</t>
  </si>
  <si>
    <t>Seal</t>
  </si>
  <si>
    <t>Marion</t>
  </si>
  <si>
    <t>Snyder</t>
  </si>
  <si>
    <t>Rhonda</t>
  </si>
  <si>
    <t>Kennedy</t>
  </si>
  <si>
    <t>Clara</t>
  </si>
  <si>
    <t>Shaw</t>
  </si>
  <si>
    <t>Tommy</t>
  </si>
  <si>
    <t>Collazo</t>
  </si>
  <si>
    <t>Ana</t>
  </si>
  <si>
    <t>Bradley</t>
  </si>
  <si>
    <t>Curtis</t>
  </si>
  <si>
    <t>Irby</t>
  </si>
  <si>
    <t>Marcia</t>
  </si>
  <si>
    <t>Dean</t>
  </si>
  <si>
    <t>Mike</t>
  </si>
  <si>
    <t>Way</t>
  </si>
  <si>
    <t>SELECT title AS movie_title, name AS category_name,SUM(amount) AS total_revenue FROM film</t>
  </si>
  <si>
    <t>INNER JOIN film_category ON film.film_id = film_category.film_id</t>
  </si>
  <si>
    <t>INNER JOIN category ON category.category_id = film_category.category_id</t>
  </si>
  <si>
    <t>INNER JOIN inventory ON inventory.film_id = film.film_id</t>
  </si>
  <si>
    <t>INNER JOIN rental ON rental.inventory_id = inventory.inventory_id</t>
  </si>
  <si>
    <t>INNER JOIN payment ON payment.rental_id = rental.rental_id</t>
  </si>
  <si>
    <t>GROUP BY title, name</t>
  </si>
  <si>
    <t>ORDER BY SUM(amount) DESC</t>
  </si>
  <si>
    <t>LIMIT 5;</t>
  </si>
  <si>
    <t>movie_title</t>
  </si>
  <si>
    <t>category_name</t>
  </si>
  <si>
    <t>total_revenue</t>
  </si>
  <si>
    <t>Telegraph Voyage</t>
  </si>
  <si>
    <t>Music</t>
  </si>
  <si>
    <t>Zorro Ark</t>
  </si>
  <si>
    <t>Comedy</t>
  </si>
  <si>
    <t>Wife Turn</t>
  </si>
  <si>
    <t>Documentary</t>
  </si>
  <si>
    <t>Innocent Usual</t>
  </si>
  <si>
    <t>Foreign</t>
  </si>
  <si>
    <t>Hustler Party</t>
  </si>
  <si>
    <t>INNER JOIN customer ON payment.customer_id = customer.customer_id</t>
  </si>
  <si>
    <t>INNER JOIN address ON address.address_id = customer.address_id</t>
  </si>
  <si>
    <t>INNER JOIN city ON city.city_id = address.city_id</t>
  </si>
  <si>
    <t>GROUP BY city</t>
  </si>
  <si>
    <t>LIMIT 5</t>
  </si>
  <si>
    <t>;</t>
  </si>
  <si>
    <t>city</t>
  </si>
  <si>
    <t>Saint-Denis</t>
  </si>
  <si>
    <t>Cape Coral</t>
  </si>
  <si>
    <t>Santa Brbara dOeste</t>
  </si>
  <si>
    <t>Apeldoorn</t>
  </si>
  <si>
    <t>Molodetno</t>
  </si>
  <si>
    <t>SELECT country,sum(amount) AS total_revenue FROM payment</t>
  </si>
  <si>
    <t>INNER JOIN country ON country.country_id = city.country_id</t>
  </si>
  <si>
    <t>GROUP BY country</t>
  </si>
  <si>
    <t>SELECT city,sum(amount) AS total_revenue FROM payment</t>
  </si>
  <si>
    <t>country</t>
  </si>
  <si>
    <t>India</t>
  </si>
  <si>
    <t>China</t>
  </si>
  <si>
    <t>United States</t>
  </si>
  <si>
    <t>Japan</t>
  </si>
  <si>
    <t>Mexico</t>
  </si>
  <si>
    <t>Row Labels</t>
  </si>
  <si>
    <t>Grand Total</t>
  </si>
  <si>
    <t>Sum of monthly_revenue</t>
  </si>
  <si>
    <t>Sum of total_paid</t>
  </si>
  <si>
    <t>Sum of total_revenue</t>
  </si>
  <si>
    <t>Customers</t>
  </si>
  <si>
    <t>Total Paid</t>
  </si>
  <si>
    <t>Sakila Revenue Overview</t>
  </si>
  <si>
    <t>TOTAL REVENUE : 61312.04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</si>
</sst>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8"/>
      <color theme="0" tint="-0.249977111117893"/>
      <name val="Aptos Narrow"/>
      <family val="2"/>
      <scheme val="minor"/>
    </font>
    <font>
      <sz val="20"/>
      <color theme="0" tint="-0.249977111117893"/>
      <name val="Aptos Narrow"/>
      <family val="2"/>
      <scheme val="minor"/>
    </font>
    <font>
      <b/>
      <sz val="28"/>
      <color theme="0" tint="-0.249977111117893"/>
      <name val="Aptos Narrow"/>
      <family val="2"/>
      <scheme val="minor"/>
    </font>
    <font>
      <sz val="28"/>
      <color theme="0" tint="-0.249977111117893"/>
      <name val="Aptos Narrow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 tint="-0.249977111117893"/>
        <bgColor theme="4" tint="0.79998168889431442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0" fontId="0" fillId="0" borderId="0" xfId="0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7" fillId="33" borderId="0" xfId="0" applyFont="1" applyFill="1" applyBorder="1" applyAlignment="1">
      <alignment vertical="center"/>
    </xf>
    <xf numFmtId="0" fontId="0" fillId="33" borderId="0" xfId="0" applyFont="1" applyFill="1" applyBorder="1" applyAlignment="1">
      <alignment vertical="center"/>
    </xf>
    <xf numFmtId="4" fontId="20" fillId="0" borderId="0" xfId="0" applyNumberFormat="1" applyFont="1"/>
    <xf numFmtId="4" fontId="22" fillId="0" borderId="0" xfId="0" applyNumberFormat="1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19" fillId="0" borderId="0" xfId="0" applyFont="1" applyAlignment="1">
      <alignment horizontal="left"/>
    </xf>
    <xf numFmtId="0" fontId="18" fillId="34" borderId="10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0" fillId="35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[project.xlsm]Monthly Revenue!PivotTable1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'Monthly Revenue'!$B$3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'Monthly Revenue'!$A$4:$A$8</c:f>
              <c:strCache>
                <c:ptCount val="4"/>
                <c:pt idx="0">
                  <c:v>APRIL    </c:v>
                </c:pt>
                <c:pt idx="1">
                  <c:v>FEBRUARY </c:v>
                </c:pt>
                <c:pt idx="2">
                  <c:v>MARCH    </c:v>
                </c:pt>
                <c:pt idx="3">
                  <c:v>MAY      </c:v>
                </c:pt>
              </c:strCache>
            </c:strRef>
          </c:cat>
          <c:val>
            <c:numRef>
              <c:f>'Monthly Revenue'!$B$4:$B$8</c:f>
              <c:numCache>
                <c:formatCode>General</c:formatCode>
                <c:ptCount val="4"/>
                <c:pt idx="0">
                  <c:v>28559.46</c:v>
                </c:pt>
                <c:pt idx="1">
                  <c:v>8351.84</c:v>
                </c:pt>
                <c:pt idx="2">
                  <c:v>23886.560000000001</c:v>
                </c:pt>
                <c:pt idx="3">
                  <c:v>514.17999999999995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AE-4813-951C-90576C8FE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02842047"/>
        <c:axId val="302839647"/>
        <c:axId val="0"/>
      </c:bar3DChart>
      <c:catAx>
        <c:axId val="302842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302839647"/>
        <c:crosses val="autoZero"/>
        <c:auto val="1"/>
        <c:lblAlgn val="ctr"/>
        <c:lblOffset val="100"/>
        <c:noMultiLvlLbl val="0"/>
      </c:catAx>
      <c:valAx>
        <c:axId val="302839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302842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[project.xlsm]Category By Revenue!PivotTable3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Category By 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'Category By Revenue'!$B$3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'Category By Revenue'!$A$4:$A$8</c:f>
              <c:strCache>
                <c:ptCount val="4"/>
                <c:pt idx="0">
                  <c:v>Comedy</c:v>
                </c:pt>
                <c:pt idx="1">
                  <c:v>Documentary</c:v>
                </c:pt>
                <c:pt idx="2">
                  <c:v>Foreign</c:v>
                </c:pt>
                <c:pt idx="3">
                  <c:v>Music</c:v>
                </c:pt>
              </c:strCache>
            </c:strRef>
          </c:cat>
          <c:val>
            <c:numRef>
              <c:f>'Category By Revenue'!$B$4:$B$8</c:f>
              <c:numCache>
                <c:formatCode>General</c:formatCode>
                <c:ptCount val="4"/>
                <c:pt idx="0">
                  <c:v>390.5</c:v>
                </c:pt>
                <c:pt idx="1">
                  <c:v>198.73</c:v>
                </c:pt>
                <c:pt idx="2">
                  <c:v>191.74</c:v>
                </c:pt>
                <c:pt idx="3">
                  <c:v>215.75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8-486B-9C60-7560D1938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[project.xlsm]Cities By Revenue!PivotTable4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Cities By 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'Cities By Revenue'!$B$3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'Cities By Revenue'!$A$4:$A$9</c:f>
              <c:strCache>
                <c:ptCount val="5"/>
                <c:pt idx="0">
                  <c:v>Apeldoorn</c:v>
                </c:pt>
                <c:pt idx="1">
                  <c:v>Cape Coral</c:v>
                </c:pt>
                <c:pt idx="2">
                  <c:v>Molodetno</c:v>
                </c:pt>
                <c:pt idx="3">
                  <c:v>Saint-Denis</c:v>
                </c:pt>
                <c:pt idx="4">
                  <c:v>Santa Brbara dOeste</c:v>
                </c:pt>
              </c:strCache>
            </c:strRef>
          </c:cat>
          <c:val>
            <c:numRef>
              <c:f>'Cities By Revenue'!$B$4:$B$9</c:f>
              <c:numCache>
                <c:formatCode>General</c:formatCode>
                <c:ptCount val="5"/>
                <c:pt idx="0">
                  <c:v>191.62</c:v>
                </c:pt>
                <c:pt idx="1">
                  <c:v>208.58</c:v>
                </c:pt>
                <c:pt idx="2">
                  <c:v>189.6</c:v>
                </c:pt>
                <c:pt idx="3">
                  <c:v>211.55</c:v>
                </c:pt>
                <c:pt idx="4">
                  <c:v>194.61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BE-4F49-A026-C8018280D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246654159"/>
        <c:axId val="1246654639"/>
        <c:axId val="0"/>
      </c:bar3DChart>
      <c:catAx>
        <c:axId val="12466541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246654639"/>
        <c:crosses val="autoZero"/>
        <c:auto val="1"/>
        <c:lblAlgn val="ctr"/>
        <c:lblOffset val="100"/>
        <c:noMultiLvlLbl val="0"/>
      </c:catAx>
      <c:valAx>
        <c:axId val="12466546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246654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[project.xlsm]Country By Revenue!PivotTable5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Country By 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4580927384076988E-2"/>
          <c:y val="0.25865522018081066"/>
          <c:w val="0.76349759405074369"/>
          <c:h val="0.48725758238553513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'Country By Revenue'!$B$3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'Country By Revenue'!$A$4:$A$9</c:f>
              <c:strCache>
                <c:ptCount val="5"/>
                <c:pt idx="0">
                  <c:v>China</c:v>
                </c:pt>
                <c:pt idx="1">
                  <c:v>India</c:v>
                </c:pt>
                <c:pt idx="2">
                  <c:v>Japan</c:v>
                </c:pt>
                <c:pt idx="3">
                  <c:v>Mexico</c:v>
                </c:pt>
                <c:pt idx="4">
                  <c:v>United States</c:v>
                </c:pt>
              </c:strCache>
            </c:strRef>
          </c:cat>
          <c:val>
            <c:numRef>
              <c:f>'Country By Revenue'!$B$4:$B$9</c:f>
              <c:numCache>
                <c:formatCode>General</c:formatCode>
                <c:ptCount val="5"/>
                <c:pt idx="0">
                  <c:v>5251.03</c:v>
                </c:pt>
                <c:pt idx="1">
                  <c:v>6034.78</c:v>
                </c:pt>
                <c:pt idx="2">
                  <c:v>3122.51</c:v>
                </c:pt>
                <c:pt idx="3">
                  <c:v>2984.82</c:v>
                </c:pt>
                <c:pt idx="4">
                  <c:v>3685.31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C4-4812-8203-C944E6B7A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02883807"/>
        <c:axId val="302853567"/>
        <c:axId val="0"/>
      </c:bar3DChart>
      <c:catAx>
        <c:axId val="30288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302853567"/>
        <c:crosses val="autoZero"/>
        <c:auto val="1"/>
        <c:lblAlgn val="ctr"/>
        <c:lblOffset val="100"/>
        <c:noMultiLvlLbl val="0"/>
      </c:catAx>
      <c:valAx>
        <c:axId val="302853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302883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[project.xlsm]Monthly Revenue!PivotTable1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DnDiag">
            <a:fgClr>
              <a:schemeClr val="accent5"/>
            </a:fgClr>
            <a:bgClr>
              <a:schemeClr val="accent5">
                <a:lumMod val="20000"/>
                <a:lumOff val="80000"/>
              </a:schemeClr>
            </a:bgClr>
          </a:pattFill>
          <a:ln>
            <a:solidFill>
              <a:schemeClr val="accent5"/>
            </a:solidFill>
          </a:ln>
          <a:effectLst/>
          <a:sp3d>
            <a:contourClr>
              <a:schemeClr val="accent5"/>
            </a:contourClr>
          </a:sp3d>
        </c:spPr>
        <c:marker>
          <c:symbol val="circle"/>
          <c:size val="6"/>
          <c:spPr>
            <a:solidFill>
              <a:schemeClr val="accent5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 w="19050" cap="flat" cmpd="sng" algn="ctr">
          <a:solidFill>
            <a:schemeClr val="tx1">
              <a:lumMod val="25000"/>
              <a:lumOff val="75000"/>
            </a:schemeClr>
          </a:solidFill>
          <a:round/>
        </a:ln>
        <a:effectLst/>
        <a:sp3d contourW="19050">
          <a:contourClr>
            <a:schemeClr val="tx1">
              <a:lumMod val="25000"/>
              <a:lumOff val="7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'Monthly Revenue'!$B$3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DnDiag">
              <a:fgClr>
                <a:schemeClr val="accent5"/>
              </a:fgClr>
              <a:bgClr>
                <a:schemeClr val="accent5">
                  <a:lumMod val="20000"/>
                  <a:lumOff val="80000"/>
                </a:schemeClr>
              </a:bgClr>
            </a:pattFill>
            <a:ln>
              <a:solidFill>
                <a:schemeClr val="accent5"/>
              </a:solidFill>
            </a:ln>
            <a:effectLst/>
            <a:sp3d>
              <a:contourClr>
                <a:schemeClr val="accent5"/>
              </a:contourClr>
            </a:sp3d>
          </c:spPr>
          <c:invertIfNegative val="0"/>
          <c:cat>
            <c:strRef>
              <c:f>'Monthly Revenue'!$A$4:$A$8</c:f>
              <c:strCache>
                <c:ptCount val="4"/>
                <c:pt idx="0">
                  <c:v>APRIL    </c:v>
                </c:pt>
                <c:pt idx="1">
                  <c:v>FEBRUARY </c:v>
                </c:pt>
                <c:pt idx="2">
                  <c:v>MARCH    </c:v>
                </c:pt>
                <c:pt idx="3">
                  <c:v>MAY      </c:v>
                </c:pt>
              </c:strCache>
            </c:strRef>
          </c:cat>
          <c:val>
            <c:numRef>
              <c:f>'Monthly Revenue'!$B$4:$B$8</c:f>
              <c:numCache>
                <c:formatCode>General</c:formatCode>
                <c:ptCount val="4"/>
                <c:pt idx="0">
                  <c:v>28559.46</c:v>
                </c:pt>
                <c:pt idx="1">
                  <c:v>8351.84</c:v>
                </c:pt>
                <c:pt idx="2">
                  <c:v>23886.560000000001</c:v>
                </c:pt>
                <c:pt idx="3">
                  <c:v>514.17999999999995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6-4D38-A83F-EDF892299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02842047"/>
        <c:axId val="302839647"/>
        <c:axId val="0"/>
      </c:bar3DChart>
      <c:catAx>
        <c:axId val="302842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302839647"/>
        <c:crosses val="autoZero"/>
        <c:auto val="1"/>
        <c:lblAlgn val="ctr"/>
        <c:lblOffset val="100"/>
        <c:noMultiLvlLbl val="0"/>
      </c:catAx>
      <c:valAx>
        <c:axId val="302839647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302842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[project.xlsm]Category By Revenue!PivotTable3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Categories By 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ltUp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1"/>
            </a:innerShdw>
          </a:effectLst>
        </c:spPr>
      </c:pivotFmt>
      <c:pivotFmt>
        <c:idx val="8"/>
        <c:spPr>
          <a:pattFill prst="ltUpDiag">
            <a:fgClr>
              <a:schemeClr val="accent2"/>
            </a:fgClr>
            <a:bgClr>
              <a:schemeClr val="accent2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2"/>
            </a:innerShdw>
          </a:effectLst>
        </c:spPr>
      </c:pivotFmt>
      <c:pivotFmt>
        <c:idx val="9"/>
        <c:spPr>
          <a:pattFill prst="ltUpDiag">
            <a:fgClr>
              <a:schemeClr val="accent3"/>
            </a:fgClr>
            <a:bgClr>
              <a:schemeClr val="accent3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3"/>
            </a:innerShdw>
          </a:effectLst>
        </c:spPr>
      </c:pivotFmt>
      <c:pivotFmt>
        <c:idx val="10"/>
        <c:spPr>
          <a:pattFill prst="ltUpDiag">
            <a:fgClr>
              <a:schemeClr val="accent4"/>
            </a:fgClr>
            <a:bgClr>
              <a:schemeClr val="accent4">
                <a:lumMod val="20000"/>
                <a:lumOff val="80000"/>
              </a:schemeClr>
            </a:bgClr>
          </a:pattFill>
          <a:ln w="19050">
            <a:solidFill>
              <a:schemeClr val="lt1"/>
            </a:solidFill>
          </a:ln>
          <a:effectLst>
            <a:innerShdw blurRad="114300">
              <a:schemeClr val="accent4"/>
            </a:inn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'Category By Revenue'!$B$3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1706-4C62-89E5-C51C324D9276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1706-4C62-89E5-C51C324D9276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1706-4C62-89E5-C51C324D9276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1706-4C62-89E5-C51C324D9276}"/>
              </c:ext>
            </c:extLst>
          </c:dPt>
          <c:cat>
            <c:strRef>
              <c:f>'Category By Revenue'!$A$4:$A$8</c:f>
              <c:strCache>
                <c:ptCount val="4"/>
                <c:pt idx="0">
                  <c:v>Comedy</c:v>
                </c:pt>
                <c:pt idx="1">
                  <c:v>Documentary</c:v>
                </c:pt>
                <c:pt idx="2">
                  <c:v>Foreign</c:v>
                </c:pt>
                <c:pt idx="3">
                  <c:v>Music</c:v>
                </c:pt>
              </c:strCache>
            </c:strRef>
          </c:cat>
          <c:val>
            <c:numRef>
              <c:f>'Category By Revenue'!$B$4:$B$8</c:f>
              <c:numCache>
                <c:formatCode>General</c:formatCode>
                <c:ptCount val="4"/>
                <c:pt idx="0">
                  <c:v>390.5</c:v>
                </c:pt>
                <c:pt idx="1">
                  <c:v>198.73</c:v>
                </c:pt>
                <c:pt idx="2">
                  <c:v>191.74</c:v>
                </c:pt>
                <c:pt idx="3">
                  <c:v>215.75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706-4C62-89E5-C51C324D9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[project.xlsm]Cities By Revenue!PivotTable4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Cities By 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DnDiag">
            <a:fgClr>
              <a:schemeClr val="accent4"/>
            </a:fgClr>
            <a:bgClr>
              <a:schemeClr val="accent4">
                <a:lumMod val="20000"/>
                <a:lumOff val="80000"/>
              </a:schemeClr>
            </a:bgClr>
          </a:pattFill>
          <a:ln>
            <a:solidFill>
              <a:schemeClr val="accent4"/>
            </a:solidFill>
          </a:ln>
          <a:effectLst/>
          <a:sp3d>
            <a:contourClr>
              <a:schemeClr val="accent4"/>
            </a:contourClr>
          </a:sp3d>
        </c:spPr>
        <c:marker>
          <c:symbol val="circle"/>
          <c:size val="6"/>
          <c:spPr>
            <a:solidFill>
              <a:schemeClr val="accent4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0"/>
      <c:rotY val="0"/>
      <c:depthPercent val="100"/>
      <c:rAngAx val="0"/>
    </c:view3D>
    <c:floor>
      <c:thickness val="0"/>
      <c:spPr>
        <a:solidFill>
          <a:schemeClr val="lt1"/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'Cities By Revenue'!$B$3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DnDiag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solidFill>
                <a:schemeClr val="accent4"/>
              </a:solidFill>
            </a:ln>
            <a:effectLst/>
            <a:sp3d>
              <a:contourClr>
                <a:schemeClr val="accent4"/>
              </a:contourClr>
            </a:sp3d>
          </c:spPr>
          <c:invertIfNegative val="0"/>
          <c:cat>
            <c:strRef>
              <c:f>'Cities By Revenue'!$A$4:$A$9</c:f>
              <c:strCache>
                <c:ptCount val="5"/>
                <c:pt idx="0">
                  <c:v>Apeldoorn</c:v>
                </c:pt>
                <c:pt idx="1">
                  <c:v>Cape Coral</c:v>
                </c:pt>
                <c:pt idx="2">
                  <c:v>Molodetno</c:v>
                </c:pt>
                <c:pt idx="3">
                  <c:v>Saint-Denis</c:v>
                </c:pt>
                <c:pt idx="4">
                  <c:v>Santa Brbara dOeste</c:v>
                </c:pt>
              </c:strCache>
            </c:strRef>
          </c:cat>
          <c:val>
            <c:numRef>
              <c:f>'Cities By Revenue'!$B$4:$B$9</c:f>
              <c:numCache>
                <c:formatCode>General</c:formatCode>
                <c:ptCount val="5"/>
                <c:pt idx="0">
                  <c:v>191.62</c:v>
                </c:pt>
                <c:pt idx="1">
                  <c:v>208.58</c:v>
                </c:pt>
                <c:pt idx="2">
                  <c:v>189.6</c:v>
                </c:pt>
                <c:pt idx="3">
                  <c:v>211.55</c:v>
                </c:pt>
                <c:pt idx="4">
                  <c:v>194.61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78-47F6-934C-3E25A0636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0"/>
        <c:gapDepth val="0"/>
        <c:shape val="box"/>
        <c:axId val="1246654159"/>
        <c:axId val="1246654639"/>
        <c:axId val="0"/>
      </c:bar3DChart>
      <c:catAx>
        <c:axId val="12466541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246654639"/>
        <c:crosses val="autoZero"/>
        <c:auto val="1"/>
        <c:lblAlgn val="ctr"/>
        <c:lblOffset val="100"/>
        <c:noMultiLvlLbl val="0"/>
      </c:catAx>
      <c:valAx>
        <c:axId val="1246654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1246654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pivotSource>
    <c:name>[project.xlsm]Country By Revenue!PivotTable5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Country By 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DnDiag">
            <a:fgClr>
              <a:schemeClr val="accent3"/>
            </a:fgClr>
            <a:bgClr>
              <a:schemeClr val="accent3">
                <a:lumMod val="20000"/>
                <a:lumOff val="80000"/>
              </a:schemeClr>
            </a:bgClr>
          </a:pattFill>
          <a:ln>
            <a:solidFill>
              <a:schemeClr val="accent3"/>
            </a:solidFill>
          </a:ln>
          <a:effectLst/>
          <a:sp3d>
            <a:contourClr>
              <a:schemeClr val="accent3"/>
            </a:contourClr>
          </a:sp3d>
        </c:spPr>
        <c:marker>
          <c:symbol val="circle"/>
          <c:size val="6"/>
          <c:spPr>
            <a:solidFill>
              <a:schemeClr val="accent3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l-G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 w="19050" cap="flat" cmpd="sng" algn="ctr">
          <a:solidFill>
            <a:schemeClr val="tx1">
              <a:lumMod val="25000"/>
              <a:lumOff val="75000"/>
            </a:schemeClr>
          </a:solidFill>
          <a:round/>
        </a:ln>
        <a:effectLst/>
        <a:sp3d contourW="19050">
          <a:contourClr>
            <a:schemeClr val="tx1">
              <a:lumMod val="25000"/>
              <a:lumOff val="7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9.4580927384076988E-2"/>
          <c:y val="0.25865522018081066"/>
          <c:w val="0.76349759405074369"/>
          <c:h val="0.48725758238553513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'Country By Revenue'!$B$3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DnDiag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solidFill>
                <a:schemeClr val="accent3"/>
              </a:solidFill>
            </a:ln>
            <a:effectLst/>
            <a:sp3d>
              <a:contourClr>
                <a:schemeClr val="accent3"/>
              </a:contourClr>
            </a:sp3d>
          </c:spPr>
          <c:invertIfNegative val="0"/>
          <c:cat>
            <c:strRef>
              <c:f>'Country By Revenue'!$A$4:$A$9</c:f>
              <c:strCache>
                <c:ptCount val="5"/>
                <c:pt idx="0">
                  <c:v>China</c:v>
                </c:pt>
                <c:pt idx="1">
                  <c:v>India</c:v>
                </c:pt>
                <c:pt idx="2">
                  <c:v>Japan</c:v>
                </c:pt>
                <c:pt idx="3">
                  <c:v>Mexico</c:v>
                </c:pt>
                <c:pt idx="4">
                  <c:v>United States</c:v>
                </c:pt>
              </c:strCache>
            </c:strRef>
          </c:cat>
          <c:val>
            <c:numRef>
              <c:f>'Country By Revenue'!$B$4:$B$9</c:f>
              <c:numCache>
                <c:formatCode>General</c:formatCode>
                <c:ptCount val="5"/>
                <c:pt idx="0">
                  <c:v>5251.03</c:v>
                </c:pt>
                <c:pt idx="1">
                  <c:v>6034.78</c:v>
                </c:pt>
                <c:pt idx="2">
                  <c:v>3122.51</c:v>
                </c:pt>
                <c:pt idx="3">
                  <c:v>2984.82</c:v>
                </c:pt>
                <c:pt idx="4">
                  <c:v>3685.31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31-4601-B4F4-B8E78978B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02883807"/>
        <c:axId val="302853567"/>
        <c:axId val="0"/>
      </c:bar3DChart>
      <c:catAx>
        <c:axId val="30288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302853567"/>
        <c:crosses val="autoZero"/>
        <c:auto val="1"/>
        <c:lblAlgn val="ctr"/>
        <c:lblOffset val="100"/>
        <c:noMultiLvlLbl val="0"/>
      </c:catAx>
      <c:valAx>
        <c:axId val="302853567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l-GR"/>
          </a:p>
        </c:txPr>
        <c:crossAx val="302883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l-G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l-G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9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144780</xdr:colOff>
      <xdr:row>0</xdr:row>
      <xdr:rowOff>171450</xdr:rowOff>
    </xdr:from>
    <xdr:to>
      <xdr:col>9</xdr:col>
      <xdr:colOff>449580</xdr:colOff>
      <xdr:row>15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D49720-B6A0-1384-C194-3A6DDC7563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1</xdr:row>
      <xdr:rowOff>114300</xdr:rowOff>
    </xdr:from>
    <xdr:to>
      <xdr:col>10</xdr:col>
      <xdr:colOff>198120</xdr:colOff>
      <xdr:row>16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BE7C28-15A8-234E-7D07-5557F9DB14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0</xdr:row>
      <xdr:rowOff>167640</xdr:rowOff>
    </xdr:from>
    <xdr:to>
      <xdr:col>10</xdr:col>
      <xdr:colOff>198120</xdr:colOff>
      <xdr:row>15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B36C90-B105-C5CE-067D-840186C9E0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106680</xdr:colOff>
      <xdr:row>2</xdr:row>
      <xdr:rowOff>15240</xdr:rowOff>
    </xdr:from>
    <xdr:to>
      <xdr:col>10</xdr:col>
      <xdr:colOff>411480</xdr:colOff>
      <xdr:row>17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F0292EE-36A8-AD0C-3472-C0FF9EF9F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761999</xdr:colOff>
      <xdr:row>4</xdr:row>
      <xdr:rowOff>55419</xdr:rowOff>
    </xdr:from>
    <xdr:to>
      <xdr:col>8</xdr:col>
      <xdr:colOff>263235</xdr:colOff>
      <xdr:row>19</xdr:row>
      <xdr:rowOff>193965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2AAF1F-4A96-41F0-92E0-94C08F7DC8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457198</xdr:colOff>
      <xdr:row>4</xdr:row>
      <xdr:rowOff>55416</xdr:rowOff>
    </xdr:from>
    <xdr:to>
      <xdr:col>17</xdr:col>
      <xdr:colOff>457198</xdr:colOff>
      <xdr:row>19</xdr:row>
      <xdr:rowOff>193962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CFEE3A0-C5AE-4C29-85E0-1CFD923833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775856</xdr:colOff>
      <xdr:row>20</xdr:row>
      <xdr:rowOff>124689</xdr:rowOff>
    </xdr:from>
    <xdr:to>
      <xdr:col>8</xdr:col>
      <xdr:colOff>277092</xdr:colOff>
      <xdr:row>40</xdr:row>
      <xdr:rowOff>13853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A0B2A4C-F40F-433F-B572-FF53A1CA89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484909</xdr:colOff>
      <xdr:row>20</xdr:row>
      <xdr:rowOff>110835</xdr:rowOff>
    </xdr:from>
    <xdr:to>
      <xdr:col>17</xdr:col>
      <xdr:colOff>484909</xdr:colOff>
      <xdr:row>39</xdr:row>
      <xdr:rowOff>180108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96CB8C7-2EBF-470F-A2D0-63B3595C2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838.800347222219" createdVersion="8" refreshedVersion="8" minRefreshableVersion="3" recordCount="4" xr:uid="{1B1BB6FF-1AB0-4BD6-8A02-0518A846F44D}">
  <cacheSource type="worksheet">
    <worksheetSource name="monthly_revenue"/>
  </cacheSource>
  <cacheFields count="2">
    <cacheField name="month" numFmtId="0">
      <sharedItems count="4">
        <s v="FEBRUARY "/>
        <s v="MARCH    "/>
        <s v="APRIL    "/>
        <s v="MAY      "/>
      </sharedItems>
    </cacheField>
    <cacheField name="monthly_revenue" numFmtId="0">
      <sharedItems containsSemiMixedTypes="0" containsString="0" containsNumber="1" minValue="514.17999999999995" maxValue="28559.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838.800970717595" createdVersion="8" refreshedVersion="8" minRefreshableVersion="3" recordCount="10" xr:uid="{CA4714E1-41CD-416B-B215-798E1CE6E71F}">
  <cacheSource type="worksheet">
    <worksheetSource name="customers_by_revenue"/>
  </cacheSource>
  <cacheFields count="4">
    <cacheField name="first_name" numFmtId="0">
      <sharedItems/>
    </cacheField>
    <cacheField name="last_name" numFmtId="0">
      <sharedItems count="10">
        <s v="Hunt"/>
        <s v="Seal"/>
        <s v="Snyder"/>
        <s v="Kennedy"/>
        <s v="Shaw"/>
        <s v="Collazo"/>
        <s v="Bradley"/>
        <s v="Irby"/>
        <s v="Dean"/>
        <s v="Way"/>
      </sharedItems>
    </cacheField>
    <cacheField name="number_of_payments" numFmtId="0">
      <sharedItems containsSemiMixedTypes="0" containsString="0" containsNumber="1" containsInteger="1" minValue="33" maxValue="45"/>
    </cacheField>
    <cacheField name="total_paid" numFmtId="0">
      <sharedItems containsSemiMixedTypes="0" containsString="0" containsNumber="1" minValue="162.66999999999999" maxValue="211.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838.801774189815" createdVersion="8" refreshedVersion="8" minRefreshableVersion="3" recordCount="5" xr:uid="{3CB75721-C441-41BB-A59F-6F2BD1343C9C}">
  <cacheSource type="worksheet">
    <worksheetSource name="category_by_revenue"/>
  </cacheSource>
  <cacheFields count="3">
    <cacheField name="movie_title" numFmtId="0">
      <sharedItems/>
    </cacheField>
    <cacheField name="category_name" numFmtId="0">
      <sharedItems count="4">
        <s v="Music"/>
        <s v="Comedy"/>
        <s v="Documentary"/>
        <s v="Foreign"/>
      </sharedItems>
    </cacheField>
    <cacheField name="total_revenue" numFmtId="0">
      <sharedItems containsSemiMixedTypes="0" containsString="0" containsNumber="1" minValue="190.78" maxValue="215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838.802301736112" createdVersion="8" refreshedVersion="8" minRefreshableVersion="3" recordCount="5" xr:uid="{A2653879-BD89-4CE2-914C-7B8AF3FB70F2}">
  <cacheSource type="worksheet">
    <worksheetSource name="cities_by_revenue"/>
  </cacheSource>
  <cacheFields count="2">
    <cacheField name="city" numFmtId="0">
      <sharedItems count="5">
        <s v="Saint-Denis"/>
        <s v="Cape Coral"/>
        <s v="Santa Brbara dOeste"/>
        <s v="Apeldoorn"/>
        <s v="Molodetno"/>
      </sharedItems>
    </cacheField>
    <cacheField name="total_revenue" numFmtId="0">
      <sharedItems containsSemiMixedTypes="0" containsString="0" containsNumber="1" minValue="189.6" maxValue="211.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838.80316909722" createdVersion="8" refreshedVersion="8" minRefreshableVersion="3" recordCount="5" xr:uid="{67196624-B9A3-44EB-9516-01F6BB6F190D}">
  <cacheSource type="worksheet">
    <worksheetSource name="country_by_revenue"/>
  </cacheSource>
  <cacheFields count="2">
    <cacheField name="country" numFmtId="0">
      <sharedItems count="5">
        <s v="India"/>
        <s v="China"/>
        <s v="United States"/>
        <s v="Japan"/>
        <s v="Mexico"/>
      </sharedItems>
    </cacheField>
    <cacheField name="total_revenue" numFmtId="0">
      <sharedItems containsSemiMixedTypes="0" containsString="0" containsNumber="1" minValue="2984.82" maxValue="6034.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8351.84"/>
  </r>
  <r>
    <x v="1"/>
    <n v="23886.560000000001"/>
  </r>
  <r>
    <x v="2"/>
    <n v="28559.46"/>
  </r>
  <r>
    <x v="3"/>
    <n v="514.1799999999999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s v="Eleanor"/>
    <x v="0"/>
    <n v="45"/>
    <n v="211.55"/>
  </r>
  <r>
    <s v="Karl"/>
    <x v="1"/>
    <n v="42"/>
    <n v="208.58"/>
  </r>
  <r>
    <s v="Marion"/>
    <x v="2"/>
    <n v="39"/>
    <n v="194.61"/>
  </r>
  <r>
    <s v="Rhonda"/>
    <x v="3"/>
    <n v="38"/>
    <n v="191.62"/>
  </r>
  <r>
    <s v="Clara"/>
    <x v="4"/>
    <n v="40"/>
    <n v="189.6"/>
  </r>
  <r>
    <s v="Tommy"/>
    <x v="5"/>
    <n v="37"/>
    <n v="183.63"/>
  </r>
  <r>
    <s v="Ana"/>
    <x v="6"/>
    <n v="33"/>
    <n v="167.67"/>
  </r>
  <r>
    <s v="Curtis"/>
    <x v="7"/>
    <n v="38"/>
    <n v="167.62"/>
  </r>
  <r>
    <s v="Marcia"/>
    <x v="8"/>
    <n v="39"/>
    <n v="166.61"/>
  </r>
  <r>
    <s v="Mike"/>
    <x v="9"/>
    <n v="33"/>
    <n v="162.6699999999999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s v="Telegraph Voyage"/>
    <x v="0"/>
    <n v="215.75"/>
  </r>
  <r>
    <s v="Zorro Ark"/>
    <x v="1"/>
    <n v="199.72"/>
  </r>
  <r>
    <s v="Wife Turn"/>
    <x v="2"/>
    <n v="198.73"/>
  </r>
  <r>
    <s v="Innocent Usual"/>
    <x v="3"/>
    <n v="191.74"/>
  </r>
  <r>
    <s v="Hustler Party"/>
    <x v="1"/>
    <n v="190.78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211.55"/>
  </r>
  <r>
    <x v="1"/>
    <n v="208.58"/>
  </r>
  <r>
    <x v="2"/>
    <n v="194.61"/>
  </r>
  <r>
    <x v="3"/>
    <n v="191.62"/>
  </r>
  <r>
    <x v="4"/>
    <n v="189.6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6034.78"/>
  </r>
  <r>
    <x v="1"/>
    <n v="5251.03"/>
  </r>
  <r>
    <x v="2"/>
    <n v="3685.31"/>
  </r>
  <r>
    <x v="3"/>
    <n v="3122.51"/>
  </r>
  <r>
    <x v="4"/>
    <n v="2984.8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3EFB13-5500-4174-A63C-413D3E562004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3:B8" firstHeaderRow="1" firstDataRow="1" firstDataCol="1"/>
  <pivotFields count="2">
    <pivotField axis="axisRow" showAll="0">
      <items count="5">
        <item x="2"/>
        <item x="0"/>
        <item x="1"/>
        <item x="3"/>
        <item t="default"/>
      </items>
    </pivotField>
    <pivotField dataField="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monthly_revenue" fld="1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BACA98-2F91-425E-8CCB-4E18ED89E0F7}" name="PivotTable2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4" firstHeaderRow="1" firstDataRow="1" firstDataCol="1"/>
  <pivotFields count="4">
    <pivotField showAll="0"/>
    <pivotField axis="axisRow" showAll="0" sortType="descending">
      <items count="11">
        <item x="6"/>
        <item x="5"/>
        <item x="8"/>
        <item x="0"/>
        <item x="7"/>
        <item x="3"/>
        <item x="1"/>
        <item x="4"/>
        <item x="2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</pivotFields>
  <rowFields count="1">
    <field x="1"/>
  </rowFields>
  <rowItems count="11">
    <i>
      <x v="3"/>
    </i>
    <i>
      <x v="6"/>
    </i>
    <i>
      <x v="8"/>
    </i>
    <i>
      <x v="5"/>
    </i>
    <i>
      <x v="7"/>
    </i>
    <i>
      <x v="1"/>
    </i>
    <i>
      <x/>
    </i>
    <i>
      <x v="4"/>
    </i>
    <i>
      <x v="2"/>
    </i>
    <i>
      <x v="9"/>
    </i>
    <i t="grand">
      <x/>
    </i>
  </rowItems>
  <colItems count="1">
    <i/>
  </colItems>
  <dataFields count="1">
    <dataField name="Sum of total_pai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4F2120-3105-437D-912A-D1CD5A362BD7}" name="PivotTable3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3:B8" firstHeaderRow="1" firstDataRow="1" firstDataCol="1"/>
  <pivotFields count="3">
    <pivotField showAll="0"/>
    <pivotField axis="axisRow" showAll="0">
      <items count="5">
        <item x="1"/>
        <item x="2"/>
        <item x="3"/>
        <item x="0"/>
        <item t="default"/>
      </items>
    </pivotField>
    <pivotField dataField="1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total_revenue" fld="2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68B47E-37DC-4243-9513-29C4FF4F5AF6}" name="PivotTable4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3:B9" firstHeaderRow="1" firstDataRow="1" firstDataCol="1"/>
  <pivotFields count="2">
    <pivotField axis="axisRow" showAll="0">
      <items count="6">
        <item x="3"/>
        <item x="1"/>
        <item x="4"/>
        <item x="0"/>
        <item x="2"/>
        <item t="default"/>
      </items>
    </pivotField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total_revenue" fld="1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1A8EB6-2042-48B6-9853-686B372F4700}" name="PivotTable5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3:B9" firstHeaderRow="1" firstDataRow="1" firstDataCol="1"/>
  <pivotFields count="2">
    <pivotField axis="axisRow" showAll="0">
      <items count="6">
        <item x="1"/>
        <item x="0"/>
        <item x="3"/>
        <item x="4"/>
        <item x="2"/>
        <item t="default"/>
      </items>
    </pivotField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total_revenue" fld="1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8214329-F2BA-4DA7-AFB4-97A01A65D066}" name="monthly_revenue" displayName="monthly_revenue" ref="A8:B12" totalsRowShown="0">
  <autoFilter ref="A8:B12" xr:uid="{98214329-F2BA-4DA7-AFB4-97A01A65D066}"/>
  <tableColumns count="2">
    <tableColumn id="1" xr3:uid="{D3CE2E1E-94A6-4EF9-8AAE-4AED175F5376}" name="month"/>
    <tableColumn id="2" xr3:uid="{015EE04A-F4CE-4079-A788-EC42A7DCD928}" name="monthly_reven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7C52B6A-5418-48D8-A8FA-33BD5D33583F}" name="customers_by_revenue" displayName="customers_by_revenue" ref="A17:D27" totalsRowShown="0">
  <autoFilter ref="A17:D27" xr:uid="{17C52B6A-5418-48D8-A8FA-33BD5D33583F}"/>
  <tableColumns count="4">
    <tableColumn id="1" xr3:uid="{434218F2-45E4-4C22-A9E1-201AAD41BE23}" name="first_name"/>
    <tableColumn id="2" xr3:uid="{BA3B4650-DFB4-4991-BFA8-CEE854DE0EC3}" name="last_name"/>
    <tableColumn id="3" xr3:uid="{A3BF3C72-4119-4AA8-879B-84E3D5C50FC2}" name="number_of_payments"/>
    <tableColumn id="4" xr3:uid="{CFCF898D-4E60-48ED-9720-5D8676AEBC7E}" name="total_pai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96855EB-CD91-4D10-8696-DE63FA068653}" name="category_by_revenue" displayName="category_by_revenue" ref="A33:C38" totalsRowShown="0">
  <autoFilter ref="A33:C38" xr:uid="{196855EB-CD91-4D10-8696-DE63FA068653}"/>
  <tableColumns count="3">
    <tableColumn id="1" xr3:uid="{139C214F-ACDE-43C2-9344-CCCEFCE8DFCE}" name="movie_title"/>
    <tableColumn id="2" xr3:uid="{C8F0DCF0-D8CD-41A6-979B-F266554ED30C}" name="category_name"/>
    <tableColumn id="3" xr3:uid="{E7129981-E65B-45EA-A495-797FE2543D44}" name="total_reven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24DD070-65B0-4B62-992F-C2C5CA834BB9}" name="cities_by_revenue" displayName="cities_by_revenue" ref="A49:B54" totalsRowShown="0">
  <autoFilter ref="A49:B54" xr:uid="{424DD070-65B0-4B62-992F-C2C5CA834BB9}"/>
  <tableColumns count="2">
    <tableColumn id="1" xr3:uid="{B4C8D895-0AB7-41DD-9E57-828EC255E7F9}" name="city"/>
    <tableColumn id="2" xr3:uid="{EDFC4B67-3B0C-4F3D-B578-BF754EBC1BB5}" name="total_reven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F63DE83-2A55-42F1-AD0C-06C359400546}" name="country_by_revenue" displayName="country_by_revenue" ref="A62:B67" totalsRowShown="0">
  <autoFilter ref="A62:B67" xr:uid="{2F63DE83-2A55-42F1-AD0C-06C359400546}"/>
  <tableColumns count="2">
    <tableColumn id="1" xr3:uid="{E22A70E3-39A0-4D5C-ACB9-3D58A0725DA4}" name="country"/>
    <tableColumn id="2" xr3:uid="{418EDA52-2A22-4711-A8FF-FE4AF4251154}" name="total_reven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6CC36DD-0D95-4C10-A33B-BF55DED4D3B7}" name="total_revenue" displayName="total_revenue" ref="A1:A2" totalsRowShown="0">
  <autoFilter ref="A1:A2" xr:uid="{36CC36DD-0D95-4C10-A33B-BF55DED4D3B7}"/>
  <tableColumns count="1">
    <tableColumn id="1" xr3:uid="{BCF8BC59-4615-4970-8E4A-F4ECB78FD247}" name="💰 Total Reven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998D5A8-B648-4A0F-A465-A2C88472B7A2}" name="Table6" displayName="Table6" ref="S12:T22" totalsRowShown="0" headerRowDxfId="4" dataDxfId="3" headerRowBorderDxfId="2">
  <autoFilter ref="S12:T22" xr:uid="{6998D5A8-B648-4A0F-A465-A2C88472B7A2}"/>
  <tableColumns count="2">
    <tableColumn id="1" xr3:uid="{546F33AC-478F-4323-8D13-1F4F8D785F68}" name="Customers" dataDxfId="1"/>
    <tableColumn id="2" xr3:uid="{FEBFB23B-E9AF-47AE-B947-3D53CF4C367F}" name="Total Paid" dataDxfId="0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71F15-2A5D-4A4F-B620-A113F0F310AB}">
  <dimension ref="A3:B8"/>
  <sheetViews>
    <sheetView workbookViewId="0">
      <selection activeCell="L6" sqref="L6"/>
    </sheetView>
  </sheetViews>
  <sheetFormatPr defaultRowHeight="14.4" x14ac:dyDescent="0.3"/>
  <cols>
    <col min="1" max="1" width="12.44140625" bestFit="1" customWidth="1"/>
    <col min="2" max="2" width="21.44140625" bestFit="1" customWidth="1"/>
  </cols>
  <sheetData>
    <row r="3" spans="1:2" x14ac:dyDescent="0.3">
      <c r="A3" s="2" t="s">
        <v>83</v>
      </c>
      <c r="B3" t="s">
        <v>85</v>
      </c>
    </row>
    <row r="4" spans="1:2" x14ac:dyDescent="0.3">
      <c r="A4" s="3" t="s">
        <v>7</v>
      </c>
      <c r="B4" s="4">
        <v>28559.46</v>
      </c>
    </row>
    <row r="5" spans="1:2" x14ac:dyDescent="0.3">
      <c r="A5" s="3" t="s">
        <v>5</v>
      </c>
      <c r="B5" s="4">
        <v>8351.84</v>
      </c>
    </row>
    <row r="6" spans="1:2" x14ac:dyDescent="0.3">
      <c r="A6" s="3" t="s">
        <v>6</v>
      </c>
      <c r="B6" s="4">
        <v>23886.560000000001</v>
      </c>
    </row>
    <row r="7" spans="1:2" x14ac:dyDescent="0.3">
      <c r="A7" s="3" t="s">
        <v>8</v>
      </c>
      <c r="B7" s="4">
        <v>514.17999999999995</v>
      </c>
    </row>
    <row r="8" spans="1:2" x14ac:dyDescent="0.3">
      <c r="A8" s="3" t="s">
        <v>84</v>
      </c>
      <c r="B8" s="4">
        <v>61312.04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05D9E-30DF-4F76-8E96-0F6B8EFC80E8}">
  <dimension ref="A3:B14"/>
  <sheetViews>
    <sheetView workbookViewId="0">
      <selection activeCell="D15" sqref="D15"/>
    </sheetView>
  </sheetViews>
  <sheetFormatPr defaultRowHeight="14.4" x14ac:dyDescent="0.3"/>
  <cols>
    <col min="1" max="1" width="12.44140625" bestFit="1" customWidth="1"/>
    <col min="2" max="2" width="15.5546875" bestFit="1" customWidth="1"/>
  </cols>
  <sheetData>
    <row r="3" spans="1:2" x14ac:dyDescent="0.3">
      <c r="A3" s="2" t="s">
        <v>83</v>
      </c>
      <c r="B3" t="s">
        <v>86</v>
      </c>
    </row>
    <row r="4" spans="1:2" x14ac:dyDescent="0.3">
      <c r="A4" s="3" t="s">
        <v>21</v>
      </c>
      <c r="B4" s="4">
        <v>211.55</v>
      </c>
    </row>
    <row r="5" spans="1:2" x14ac:dyDescent="0.3">
      <c r="A5" s="3" t="s">
        <v>23</v>
      </c>
      <c r="B5" s="4">
        <v>208.58</v>
      </c>
    </row>
    <row r="6" spans="1:2" x14ac:dyDescent="0.3">
      <c r="A6" s="3" t="s">
        <v>25</v>
      </c>
      <c r="B6" s="4">
        <v>194.61</v>
      </c>
    </row>
    <row r="7" spans="1:2" x14ac:dyDescent="0.3">
      <c r="A7" s="3" t="s">
        <v>27</v>
      </c>
      <c r="B7" s="4">
        <v>191.62</v>
      </c>
    </row>
    <row r="8" spans="1:2" x14ac:dyDescent="0.3">
      <c r="A8" s="3" t="s">
        <v>29</v>
      </c>
      <c r="B8" s="4">
        <v>189.6</v>
      </c>
    </row>
    <row r="9" spans="1:2" x14ac:dyDescent="0.3">
      <c r="A9" s="3" t="s">
        <v>31</v>
      </c>
      <c r="B9" s="4">
        <v>183.63</v>
      </c>
    </row>
    <row r="10" spans="1:2" x14ac:dyDescent="0.3">
      <c r="A10" s="3" t="s">
        <v>33</v>
      </c>
      <c r="B10" s="4">
        <v>167.67</v>
      </c>
    </row>
    <row r="11" spans="1:2" x14ac:dyDescent="0.3">
      <c r="A11" s="3" t="s">
        <v>35</v>
      </c>
      <c r="B11" s="4">
        <v>167.62</v>
      </c>
    </row>
    <row r="12" spans="1:2" x14ac:dyDescent="0.3">
      <c r="A12" s="3" t="s">
        <v>37</v>
      </c>
      <c r="B12" s="4">
        <v>166.61</v>
      </c>
    </row>
    <row r="13" spans="1:2" x14ac:dyDescent="0.3">
      <c r="A13" s="3" t="s">
        <v>39</v>
      </c>
      <c r="B13" s="4">
        <v>162.66999999999999</v>
      </c>
    </row>
    <row r="14" spans="1:2" x14ac:dyDescent="0.3">
      <c r="A14" s="3" t="s">
        <v>84</v>
      </c>
      <c r="B14" s="4">
        <v>1844.1599999999999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F093F-48C6-4BB0-9213-80804174A1A2}">
  <dimension ref="A3:B8"/>
  <sheetViews>
    <sheetView workbookViewId="0">
      <selection activeCell="A3" sqref="A3"/>
    </sheetView>
  </sheetViews>
  <sheetFormatPr defaultRowHeight="14.4" x14ac:dyDescent="0.3"/>
  <cols>
    <col min="1" max="1" width="12.44140625" bestFit="1" customWidth="1"/>
    <col min="2" max="2" width="18.44140625" bestFit="1" customWidth="1"/>
  </cols>
  <sheetData>
    <row r="3" spans="1:2" x14ac:dyDescent="0.3">
      <c r="A3" s="2" t="s">
        <v>83</v>
      </c>
      <c r="B3" t="s">
        <v>87</v>
      </c>
    </row>
    <row r="4" spans="1:2" x14ac:dyDescent="0.3">
      <c r="A4" s="3" t="s">
        <v>55</v>
      </c>
      <c r="B4" s="4">
        <v>390.5</v>
      </c>
    </row>
    <row r="5" spans="1:2" x14ac:dyDescent="0.3">
      <c r="A5" s="3" t="s">
        <v>57</v>
      </c>
      <c r="B5" s="4">
        <v>198.73</v>
      </c>
    </row>
    <row r="6" spans="1:2" x14ac:dyDescent="0.3">
      <c r="A6" s="3" t="s">
        <v>59</v>
      </c>
      <c r="B6" s="4">
        <v>191.74</v>
      </c>
    </row>
    <row r="7" spans="1:2" x14ac:dyDescent="0.3">
      <c r="A7" s="3" t="s">
        <v>53</v>
      </c>
      <c r="B7" s="4">
        <v>215.75</v>
      </c>
    </row>
    <row r="8" spans="1:2" x14ac:dyDescent="0.3">
      <c r="A8" s="3" t="s">
        <v>84</v>
      </c>
      <c r="B8" s="4">
        <v>996.72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AD641-83F9-455B-96A4-751A59676884}">
  <dimension ref="A3:B9"/>
  <sheetViews>
    <sheetView workbookViewId="0">
      <selection activeCell="L6" sqref="L6"/>
    </sheetView>
  </sheetViews>
  <sheetFormatPr defaultRowHeight="14.4" x14ac:dyDescent="0.3"/>
  <cols>
    <col min="1" max="1" width="17.6640625" bestFit="1" customWidth="1"/>
    <col min="2" max="2" width="18.44140625" bestFit="1" customWidth="1"/>
  </cols>
  <sheetData>
    <row r="3" spans="1:2" x14ac:dyDescent="0.3">
      <c r="A3" s="2" t="s">
        <v>83</v>
      </c>
      <c r="B3" t="s">
        <v>87</v>
      </c>
    </row>
    <row r="4" spans="1:2" x14ac:dyDescent="0.3">
      <c r="A4" s="3" t="s">
        <v>71</v>
      </c>
      <c r="B4" s="4">
        <v>191.62</v>
      </c>
    </row>
    <row r="5" spans="1:2" x14ac:dyDescent="0.3">
      <c r="A5" s="3" t="s">
        <v>69</v>
      </c>
      <c r="B5" s="4">
        <v>208.58</v>
      </c>
    </row>
    <row r="6" spans="1:2" x14ac:dyDescent="0.3">
      <c r="A6" s="3" t="s">
        <v>72</v>
      </c>
      <c r="B6" s="4">
        <v>189.6</v>
      </c>
    </row>
    <row r="7" spans="1:2" x14ac:dyDescent="0.3">
      <c r="A7" s="3" t="s">
        <v>68</v>
      </c>
      <c r="B7" s="4">
        <v>211.55</v>
      </c>
    </row>
    <row r="8" spans="1:2" x14ac:dyDescent="0.3">
      <c r="A8" s="3" t="s">
        <v>70</v>
      </c>
      <c r="B8" s="4">
        <v>194.61</v>
      </c>
    </row>
    <row r="9" spans="1:2" x14ac:dyDescent="0.3">
      <c r="A9" s="3" t="s">
        <v>84</v>
      </c>
      <c r="B9" s="4">
        <v>995.96000000000015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8B62B-C67A-43C0-A57A-B2F2D022792C}">
  <dimension ref="A3:B9"/>
  <sheetViews>
    <sheetView workbookViewId="0">
      <selection activeCell="M6" sqref="M6"/>
    </sheetView>
  </sheetViews>
  <sheetFormatPr defaultRowHeight="14.4" x14ac:dyDescent="0.3"/>
  <cols>
    <col min="1" max="1" width="12.44140625" bestFit="1" customWidth="1"/>
    <col min="2" max="2" width="18.44140625" bestFit="1" customWidth="1"/>
  </cols>
  <sheetData>
    <row r="3" spans="1:2" x14ac:dyDescent="0.3">
      <c r="A3" s="2" t="s">
        <v>83</v>
      </c>
      <c r="B3" t="s">
        <v>87</v>
      </c>
    </row>
    <row r="4" spans="1:2" x14ac:dyDescent="0.3">
      <c r="A4" s="3" t="s">
        <v>79</v>
      </c>
      <c r="B4" s="4">
        <v>5251.03</v>
      </c>
    </row>
    <row r="5" spans="1:2" x14ac:dyDescent="0.3">
      <c r="A5" s="3" t="s">
        <v>78</v>
      </c>
      <c r="B5" s="4">
        <v>6034.78</v>
      </c>
    </row>
    <row r="6" spans="1:2" x14ac:dyDescent="0.3">
      <c r="A6" s="3" t="s">
        <v>81</v>
      </c>
      <c r="B6" s="4">
        <v>3122.51</v>
      </c>
    </row>
    <row r="7" spans="1:2" x14ac:dyDescent="0.3">
      <c r="A7" s="3" t="s">
        <v>82</v>
      </c>
      <c r="B7" s="4">
        <v>2984.82</v>
      </c>
    </row>
    <row r="8" spans="1:2" x14ac:dyDescent="0.3">
      <c r="A8" s="3" t="s">
        <v>80</v>
      </c>
      <c r="B8" s="4">
        <v>3685.31</v>
      </c>
    </row>
    <row r="9" spans="1:2" x14ac:dyDescent="0.3">
      <c r="A9" s="3" t="s">
        <v>84</v>
      </c>
      <c r="B9" s="4">
        <v>21078.45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2B7E9-F8DB-41A3-8FC0-2BB366F58ACA}">
  <dimension ref="A1:H70"/>
  <sheetViews>
    <sheetView topLeftCell="A25" workbookViewId="0">
      <selection activeCell="A2" sqref="A2"/>
    </sheetView>
  </sheetViews>
  <sheetFormatPr defaultRowHeight="14.4" x14ac:dyDescent="0.3"/>
  <cols>
    <col min="1" max="1" width="22.88671875" customWidth="1"/>
    <col min="2" max="2" width="17" customWidth="1"/>
    <col min="3" max="3" width="20.6640625" customWidth="1"/>
    <col min="4" max="4" width="11.33203125" customWidth="1"/>
    <col min="8" max="8" width="57.5546875" customWidth="1"/>
  </cols>
  <sheetData>
    <row r="1" spans="1:8" ht="28.8" x14ac:dyDescent="0.3">
      <c r="A1" t="s">
        <v>0</v>
      </c>
      <c r="D1" t="s">
        <v>1</v>
      </c>
      <c r="H1" s="1" t="s">
        <v>2</v>
      </c>
    </row>
    <row r="2" spans="1:8" x14ac:dyDescent="0.3">
      <c r="A2">
        <v>61312.04</v>
      </c>
    </row>
    <row r="8" spans="1:8" x14ac:dyDescent="0.3">
      <c r="A8" t="s">
        <v>3</v>
      </c>
      <c r="B8" t="s">
        <v>4</v>
      </c>
      <c r="H8" t="s">
        <v>9</v>
      </c>
    </row>
    <row r="9" spans="1:8" x14ac:dyDescent="0.3">
      <c r="A9" t="s">
        <v>5</v>
      </c>
      <c r="B9">
        <v>8351.84</v>
      </c>
      <c r="H9" t="s">
        <v>10</v>
      </c>
    </row>
    <row r="10" spans="1:8" x14ac:dyDescent="0.3">
      <c r="A10" t="s">
        <v>6</v>
      </c>
      <c r="B10">
        <v>23886.560000000001</v>
      </c>
      <c r="H10" t="s">
        <v>11</v>
      </c>
    </row>
    <row r="11" spans="1:8" x14ac:dyDescent="0.3">
      <c r="A11" t="s">
        <v>7</v>
      </c>
      <c r="B11">
        <v>28559.46</v>
      </c>
      <c r="H11" t="s">
        <v>12</v>
      </c>
    </row>
    <row r="12" spans="1:8" x14ac:dyDescent="0.3">
      <c r="A12" t="s">
        <v>8</v>
      </c>
      <c r="B12">
        <v>514.17999999999995</v>
      </c>
      <c r="H12" t="s">
        <v>13</v>
      </c>
    </row>
    <row r="16" spans="1:8" ht="86.4" x14ac:dyDescent="0.3">
      <c r="H16" s="1" t="s">
        <v>14</v>
      </c>
    </row>
    <row r="17" spans="1:8" x14ac:dyDescent="0.3">
      <c r="A17" t="s">
        <v>16</v>
      </c>
      <c r="B17" t="s">
        <v>17</v>
      </c>
      <c r="C17" t="s">
        <v>18</v>
      </c>
      <c r="D17" t="s">
        <v>19</v>
      </c>
    </row>
    <row r="18" spans="1:8" x14ac:dyDescent="0.3">
      <c r="A18" t="s">
        <v>20</v>
      </c>
      <c r="B18" t="s">
        <v>21</v>
      </c>
      <c r="C18">
        <v>45</v>
      </c>
      <c r="D18">
        <v>211.55</v>
      </c>
    </row>
    <row r="19" spans="1:8" x14ac:dyDescent="0.3">
      <c r="A19" t="s">
        <v>22</v>
      </c>
      <c r="B19" t="s">
        <v>23</v>
      </c>
      <c r="C19">
        <v>42</v>
      </c>
      <c r="D19">
        <v>208.58</v>
      </c>
    </row>
    <row r="20" spans="1:8" x14ac:dyDescent="0.3">
      <c r="A20" t="s">
        <v>24</v>
      </c>
      <c r="B20" t="s">
        <v>25</v>
      </c>
      <c r="C20">
        <v>39</v>
      </c>
      <c r="D20">
        <v>194.61</v>
      </c>
    </row>
    <row r="21" spans="1:8" x14ac:dyDescent="0.3">
      <c r="A21" t="s">
        <v>26</v>
      </c>
      <c r="B21" t="s">
        <v>27</v>
      </c>
      <c r="C21">
        <v>38</v>
      </c>
      <c r="D21">
        <v>191.62</v>
      </c>
    </row>
    <row r="22" spans="1:8" x14ac:dyDescent="0.3">
      <c r="A22" t="s">
        <v>28</v>
      </c>
      <c r="B22" t="s">
        <v>29</v>
      </c>
      <c r="C22">
        <v>40</v>
      </c>
      <c r="D22">
        <v>189.6</v>
      </c>
    </row>
    <row r="23" spans="1:8" ht="144" x14ac:dyDescent="0.3">
      <c r="A23" t="s">
        <v>30</v>
      </c>
      <c r="B23" t="s">
        <v>31</v>
      </c>
      <c r="C23">
        <v>37</v>
      </c>
      <c r="D23">
        <v>183.63</v>
      </c>
      <c r="H23" s="1" t="s">
        <v>15</v>
      </c>
    </row>
    <row r="24" spans="1:8" x14ac:dyDescent="0.3">
      <c r="A24" t="s">
        <v>32</v>
      </c>
      <c r="B24" t="s">
        <v>33</v>
      </c>
      <c r="C24">
        <v>33</v>
      </c>
      <c r="D24">
        <v>167.67</v>
      </c>
    </row>
    <row r="25" spans="1:8" x14ac:dyDescent="0.3">
      <c r="A25" t="s">
        <v>34</v>
      </c>
      <c r="B25" t="s">
        <v>35</v>
      </c>
      <c r="C25">
        <v>38</v>
      </c>
      <c r="D25">
        <v>167.62</v>
      </c>
    </row>
    <row r="26" spans="1:8" x14ac:dyDescent="0.3">
      <c r="A26" t="s">
        <v>36</v>
      </c>
      <c r="B26" t="s">
        <v>37</v>
      </c>
      <c r="C26">
        <v>39</v>
      </c>
      <c r="D26">
        <v>166.61</v>
      </c>
    </row>
    <row r="27" spans="1:8" x14ac:dyDescent="0.3">
      <c r="A27" t="s">
        <v>38</v>
      </c>
      <c r="B27" t="s">
        <v>39</v>
      </c>
      <c r="C27">
        <v>33</v>
      </c>
      <c r="D27">
        <v>162.66999999999999</v>
      </c>
    </row>
    <row r="33" spans="1:8" x14ac:dyDescent="0.3">
      <c r="A33" t="s">
        <v>49</v>
      </c>
      <c r="B33" t="s">
        <v>50</v>
      </c>
      <c r="C33" t="s">
        <v>51</v>
      </c>
      <c r="H33" t="s">
        <v>40</v>
      </c>
    </row>
    <row r="34" spans="1:8" x14ac:dyDescent="0.3">
      <c r="A34" t="s">
        <v>52</v>
      </c>
      <c r="B34" t="s">
        <v>53</v>
      </c>
      <c r="C34">
        <v>215.75</v>
      </c>
      <c r="H34" t="s">
        <v>41</v>
      </c>
    </row>
    <row r="35" spans="1:8" x14ac:dyDescent="0.3">
      <c r="A35" t="s">
        <v>54</v>
      </c>
      <c r="B35" t="s">
        <v>55</v>
      </c>
      <c r="C35">
        <v>199.72</v>
      </c>
      <c r="H35" t="s">
        <v>42</v>
      </c>
    </row>
    <row r="36" spans="1:8" x14ac:dyDescent="0.3">
      <c r="A36" t="s">
        <v>56</v>
      </c>
      <c r="B36" t="s">
        <v>57</v>
      </c>
      <c r="C36">
        <v>198.73</v>
      </c>
      <c r="H36" t="s">
        <v>43</v>
      </c>
    </row>
    <row r="37" spans="1:8" x14ac:dyDescent="0.3">
      <c r="A37" t="s">
        <v>58</v>
      </c>
      <c r="B37" t="s">
        <v>59</v>
      </c>
      <c r="C37">
        <v>191.74</v>
      </c>
      <c r="H37" t="s">
        <v>44</v>
      </c>
    </row>
    <row r="38" spans="1:8" x14ac:dyDescent="0.3">
      <c r="A38" t="s">
        <v>60</v>
      </c>
      <c r="B38" t="s">
        <v>55</v>
      </c>
      <c r="C38">
        <v>190.78</v>
      </c>
      <c r="H38" t="s">
        <v>45</v>
      </c>
    </row>
    <row r="39" spans="1:8" x14ac:dyDescent="0.3">
      <c r="H39" t="s">
        <v>46</v>
      </c>
    </row>
    <row r="40" spans="1:8" x14ac:dyDescent="0.3">
      <c r="H40" t="s">
        <v>47</v>
      </c>
    </row>
    <row r="41" spans="1:8" x14ac:dyDescent="0.3">
      <c r="H41" t="s">
        <v>48</v>
      </c>
    </row>
    <row r="49" spans="1:8" x14ac:dyDescent="0.3">
      <c r="A49" t="s">
        <v>67</v>
      </c>
      <c r="B49" t="s">
        <v>51</v>
      </c>
      <c r="H49" t="s">
        <v>76</v>
      </c>
    </row>
    <row r="50" spans="1:8" x14ac:dyDescent="0.3">
      <c r="A50" t="s">
        <v>68</v>
      </c>
      <c r="B50">
        <v>211.55</v>
      </c>
      <c r="H50" t="s">
        <v>61</v>
      </c>
    </row>
    <row r="51" spans="1:8" x14ac:dyDescent="0.3">
      <c r="A51" t="s">
        <v>69</v>
      </c>
      <c r="B51">
        <v>208.58</v>
      </c>
      <c r="H51" t="s">
        <v>62</v>
      </c>
    </row>
    <row r="52" spans="1:8" x14ac:dyDescent="0.3">
      <c r="A52" t="s">
        <v>70</v>
      </c>
      <c r="B52">
        <v>194.61</v>
      </c>
      <c r="H52" t="s">
        <v>63</v>
      </c>
    </row>
    <row r="53" spans="1:8" x14ac:dyDescent="0.3">
      <c r="A53" t="s">
        <v>71</v>
      </c>
      <c r="B53">
        <v>191.62</v>
      </c>
      <c r="H53" t="s">
        <v>64</v>
      </c>
    </row>
    <row r="54" spans="1:8" x14ac:dyDescent="0.3">
      <c r="A54" t="s">
        <v>72</v>
      </c>
      <c r="B54">
        <v>189.6</v>
      </c>
      <c r="H54" t="s">
        <v>47</v>
      </c>
    </row>
    <row r="55" spans="1:8" x14ac:dyDescent="0.3">
      <c r="H55" t="s">
        <v>65</v>
      </c>
    </row>
    <row r="56" spans="1:8" x14ac:dyDescent="0.3">
      <c r="H56" t="s">
        <v>66</v>
      </c>
    </row>
    <row r="62" spans="1:8" x14ac:dyDescent="0.3">
      <c r="A62" t="s">
        <v>77</v>
      </c>
      <c r="B62" t="s">
        <v>51</v>
      </c>
      <c r="H62" t="s">
        <v>73</v>
      </c>
    </row>
    <row r="63" spans="1:8" x14ac:dyDescent="0.3">
      <c r="A63" t="s">
        <v>78</v>
      </c>
      <c r="B63">
        <v>6034.78</v>
      </c>
      <c r="H63" t="s">
        <v>61</v>
      </c>
    </row>
    <row r="64" spans="1:8" x14ac:dyDescent="0.3">
      <c r="A64" t="s">
        <v>79</v>
      </c>
      <c r="B64">
        <v>5251.03</v>
      </c>
      <c r="H64" t="s">
        <v>62</v>
      </c>
    </row>
    <row r="65" spans="1:8" x14ac:dyDescent="0.3">
      <c r="A65" t="s">
        <v>80</v>
      </c>
      <c r="B65">
        <v>3685.31</v>
      </c>
      <c r="H65" t="s">
        <v>63</v>
      </c>
    </row>
    <row r="66" spans="1:8" x14ac:dyDescent="0.3">
      <c r="A66" t="s">
        <v>81</v>
      </c>
      <c r="B66">
        <v>3122.51</v>
      </c>
      <c r="H66" t="s">
        <v>74</v>
      </c>
    </row>
    <row r="67" spans="1:8" x14ac:dyDescent="0.3">
      <c r="A67" t="s">
        <v>82</v>
      </c>
      <c r="B67">
        <v>2984.82</v>
      </c>
      <c r="H67" t="s">
        <v>75</v>
      </c>
    </row>
    <row r="68" spans="1:8" x14ac:dyDescent="0.3">
      <c r="H68" t="s">
        <v>47</v>
      </c>
    </row>
    <row r="69" spans="1:8" x14ac:dyDescent="0.3">
      <c r="H69" t="s">
        <v>65</v>
      </c>
    </row>
    <row r="70" spans="1:8" x14ac:dyDescent="0.3">
      <c r="H70" t="s">
        <v>66</v>
      </c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1D518-1996-4C64-91BC-597D3B9952FE}">
  <dimension ref="I2:Y22"/>
  <sheetViews>
    <sheetView showGridLines="0" tabSelected="1" zoomScale="55" zoomScaleNormal="55" workbookViewId="0">
      <selection activeCell="T27" sqref="T27"/>
    </sheetView>
  </sheetViews>
  <sheetFormatPr defaultRowHeight="14.4" x14ac:dyDescent="0.3"/>
  <cols>
    <col min="1" max="1" width="25.109375" customWidth="1"/>
    <col min="18" max="18" width="10.21875" customWidth="1"/>
    <col min="19" max="19" width="22.33203125" customWidth="1"/>
    <col min="20" max="20" width="25.33203125" customWidth="1"/>
    <col min="21" max="21" width="16.6640625" bestFit="1" customWidth="1"/>
    <col min="22" max="22" width="14.77734375" bestFit="1" customWidth="1"/>
  </cols>
  <sheetData>
    <row r="2" spans="9:25" ht="36.6" x14ac:dyDescent="0.7">
      <c r="I2" s="10"/>
      <c r="J2" s="11" t="s">
        <v>90</v>
      </c>
    </row>
    <row r="7" spans="9:25" x14ac:dyDescent="0.3">
      <c r="S7" s="5"/>
      <c r="T7" s="6"/>
    </row>
    <row r="8" spans="9:25" ht="25.8" x14ac:dyDescent="0.5">
      <c r="S8" s="12" t="s">
        <v>91</v>
      </c>
      <c r="T8" s="4"/>
      <c r="U8" s="9"/>
      <c r="V8" s="8"/>
      <c r="W8" s="16"/>
      <c r="X8" s="16"/>
      <c r="Y8" s="16"/>
    </row>
    <row r="9" spans="9:25" x14ac:dyDescent="0.3">
      <c r="S9" s="3"/>
      <c r="T9" s="4"/>
      <c r="V9" s="7"/>
      <c r="W9" s="16"/>
      <c r="X9" s="16"/>
      <c r="Y9" s="16"/>
    </row>
    <row r="10" spans="9:25" x14ac:dyDescent="0.3">
      <c r="S10" s="3"/>
      <c r="T10" s="4"/>
      <c r="W10" s="16"/>
      <c r="X10" s="16"/>
      <c r="Y10" s="16"/>
    </row>
    <row r="11" spans="9:25" x14ac:dyDescent="0.3">
      <c r="S11" s="3"/>
      <c r="T11" s="4"/>
      <c r="W11" s="16"/>
      <c r="X11" s="16"/>
      <c r="Y11" s="16"/>
    </row>
    <row r="12" spans="9:25" ht="21" x14ac:dyDescent="0.4">
      <c r="S12" s="13" t="s">
        <v>88</v>
      </c>
      <c r="T12" s="13" t="s">
        <v>89</v>
      </c>
      <c r="W12" s="16"/>
      <c r="X12" s="16"/>
      <c r="Y12" s="16"/>
    </row>
    <row r="13" spans="9:25" ht="21" x14ac:dyDescent="0.4">
      <c r="S13" s="14" t="s">
        <v>21</v>
      </c>
      <c r="T13" s="15">
        <v>211.55</v>
      </c>
      <c r="W13" s="16"/>
      <c r="X13" s="16"/>
      <c r="Y13" s="16"/>
    </row>
    <row r="14" spans="9:25" ht="21" x14ac:dyDescent="0.4">
      <c r="S14" s="14" t="s">
        <v>23</v>
      </c>
      <c r="T14" s="15">
        <v>208.58</v>
      </c>
    </row>
    <row r="15" spans="9:25" ht="21" x14ac:dyDescent="0.4">
      <c r="S15" s="14" t="s">
        <v>25</v>
      </c>
      <c r="T15" s="15">
        <v>194.61</v>
      </c>
    </row>
    <row r="16" spans="9:25" ht="21" x14ac:dyDescent="0.4">
      <c r="S16" s="14" t="s">
        <v>27</v>
      </c>
      <c r="T16" s="15">
        <v>191.62</v>
      </c>
    </row>
    <row r="17" spans="19:20" ht="21" x14ac:dyDescent="0.4">
      <c r="S17" s="14" t="s">
        <v>29</v>
      </c>
      <c r="T17" s="15">
        <v>189.6</v>
      </c>
    </row>
    <row r="18" spans="19:20" ht="21" x14ac:dyDescent="0.4">
      <c r="S18" s="14" t="s">
        <v>31</v>
      </c>
      <c r="T18" s="15">
        <v>183.63</v>
      </c>
    </row>
    <row r="19" spans="19:20" ht="21" x14ac:dyDescent="0.4">
      <c r="S19" s="14" t="s">
        <v>33</v>
      </c>
      <c r="T19" s="15">
        <v>167.67</v>
      </c>
    </row>
    <row r="20" spans="19:20" ht="21" x14ac:dyDescent="0.4">
      <c r="S20" s="14" t="s">
        <v>35</v>
      </c>
      <c r="T20" s="15">
        <v>167.62</v>
      </c>
    </row>
    <row r="21" spans="19:20" ht="21" x14ac:dyDescent="0.4">
      <c r="S21" s="14" t="s">
        <v>37</v>
      </c>
      <c r="T21" s="15">
        <v>166.61</v>
      </c>
    </row>
    <row r="22" spans="19:20" ht="21" x14ac:dyDescent="0.4">
      <c r="S22" s="14" t="s">
        <v>39</v>
      </c>
      <c r="T22" s="15">
        <v>162.66999999999999</v>
      </c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=ذ� =ذ� 
</file>

<file path=customXml/item12.xml>�� 
</file>

<file path=customXml/item13.xml>�� 
</file>

<file path=customXml/item14.xml>�� =ذ� =ذ� 
</file>

<file path=customXml/item15.xml>�� =ذ�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0077CFFB-8932-4655-ABF9-BAD983C60D0D}">
  <ds:schemaRefs/>
</ds:datastoreItem>
</file>

<file path=customXml/itemProps2.xml><?xml version="1.0" encoding="utf-8"?>
<ds:datastoreItem xmlns:ds="http://schemas.openxmlformats.org/officeDocument/2006/customXml" ds:itemID="{2BCD2600-DF58-47E0-8237-EC92016204BE}">
  <ds:schemaRefs/>
</ds:datastoreItem>
</file>

<file path=customXml/itemProps3.xml><?xml version="1.0" encoding="utf-8"?>
<ds:datastoreItem xmlns:ds="http://schemas.openxmlformats.org/officeDocument/2006/customXml" ds:itemID="{9E081FB0-2A2A-4C8F-9583-EA6E17C17DE1}">
  <ds:schemaRefs/>
</ds:datastoreItem>
</file>

<file path=customXml/itemProps4.xml><?xml version="1.0" encoding="utf-8"?>
<ds:datastoreItem xmlns:ds="http://schemas.openxmlformats.org/officeDocument/2006/customXml" ds:itemID="{0E0E741F-581C-449F-BA27-78225C4DDAE4}">
  <ds:schemaRefs/>
</ds:datastoreItem>
</file>

<file path=customXml/itemProps5.xml><?xml version="1.0" encoding="utf-8"?>
<ds:datastoreItem xmlns:ds="http://schemas.openxmlformats.org/officeDocument/2006/customXml" ds:itemID="{19FAFB30-E1AE-4BA7-95B6-6380CF65F6DA}">
  <ds:schemaRefs/>
</ds:datastoreItem>
</file>

<file path=customXml/itemProps6.xml><?xml version="1.0" encoding="utf-8"?>
<ds:datastoreItem xmlns:ds="http://schemas.openxmlformats.org/officeDocument/2006/customXml" ds:itemID="{3FD1394F-4E2C-4AEB-A336-DC3764725B4A}">
  <ds:schemaRefs/>
</ds:datastoreItem>
</file>

<file path=customXml/itemProps7.xml><?xml version="1.0" encoding="utf-8"?>
<ds:datastoreItem xmlns:ds="http://schemas.openxmlformats.org/officeDocument/2006/customXml" ds:itemID="{0DDA755D-3DC3-44EB-930C-D86E43273B28}">
  <ds:schemaRefs/>
</ds:datastoreItem>
</file>

<file path=customXml/itemProps8.xml><?xml version="1.0" encoding="utf-8"?>
<ds:datastoreItem xmlns:ds="http://schemas.openxmlformats.org/officeDocument/2006/customXml" ds:itemID="{648D1507-879D-4B60-9066-E8F62CFCEC50}">
  <ds:schemaRefs/>
</ds:datastoreItem>
</file>

<file path=customXml/itemProps9.xml><?xml version="1.0" encoding="utf-8"?>
<ds:datastoreItem xmlns:ds="http://schemas.openxmlformats.org/officeDocument/2006/customXml" ds:itemID="{4D778A4A-ACBE-45EA-BC9E-0DFC6D988E78}">
  <ds:schemaRefs/>
</ds:datastoreItem>
</file>

<file path=customXml/itemProps10.xml><?xml version="1.0" encoding="utf-8"?>
<ds:datastoreItem xmlns:ds="http://schemas.openxmlformats.org/officeDocument/2006/customXml" ds:itemID="{0DF0155B-AA33-40F3-8900-911F63F205F5}">
  <ds:schemaRefs/>
</ds:datastoreItem>
</file>

<file path=customXml/itemProps11.xml><?xml version="1.0" encoding="utf-8"?>
<ds:datastoreItem xmlns:ds="http://schemas.openxmlformats.org/officeDocument/2006/customXml" ds:itemID="{71F6007E-2F18-47E2-81C4-1F1EF075F139}">
  <ds:schemaRefs/>
</ds:datastoreItem>
</file>

<file path=customXml/itemProps12.xml><?xml version="1.0" encoding="utf-8"?>
<ds:datastoreItem xmlns:ds="http://schemas.openxmlformats.org/officeDocument/2006/customXml" ds:itemID="{914B84C9-39A2-433F-8F3D-09D79DD9B9A2}">
  <ds:schemaRefs/>
</ds:datastoreItem>
</file>

<file path=customXml/itemProps13.xml><?xml version="1.0" encoding="utf-8"?>
<ds:datastoreItem xmlns:ds="http://schemas.openxmlformats.org/officeDocument/2006/customXml" ds:itemID="{3865CAED-03F3-41C9-8AAC-43D6B8E87C91}">
  <ds:schemaRefs/>
</ds:datastoreItem>
</file>

<file path=customXml/itemProps14.xml><?xml version="1.0" encoding="utf-8"?>
<ds:datastoreItem xmlns:ds="http://schemas.openxmlformats.org/officeDocument/2006/customXml" ds:itemID="{0B36C9E7-1B4A-40D6-B019-70EAAD8B3EBF}">
  <ds:schemaRefs/>
</ds:datastoreItem>
</file>

<file path=customXml/itemProps15.xml><?xml version="1.0" encoding="utf-8"?>
<ds:datastoreItem xmlns:ds="http://schemas.openxmlformats.org/officeDocument/2006/customXml" ds:itemID="{35517E1A-B723-4B89-86BD-89778671AB66}">
  <ds:schemaRefs/>
</ds:datastoreItem>
</file>

<file path=customXml/itemProps16.xml><?xml version="1.0" encoding="utf-8"?>
<ds:datastoreItem xmlns:ds="http://schemas.openxmlformats.org/officeDocument/2006/customXml" ds:itemID="{1DBC4BAE-E88D-4800-9C22-4D7F659C1269}">
  <ds:schemaRefs/>
</ds:datastoreItem>
</file>

<file path=customXml/itemProps17.xml><?xml version="1.0" encoding="utf-8"?>
<ds:datastoreItem xmlns:ds="http://schemas.openxmlformats.org/officeDocument/2006/customXml" ds:itemID="{B8A22B6E-02A2-4B4F-A92C-873764DCBCFF}">
  <ds:schemaRefs/>
</ds:datastoreItem>
</file>

<file path=customXml/itemProps18.xml><?xml version="1.0" encoding="utf-8"?>
<ds:datastoreItem xmlns:ds="http://schemas.openxmlformats.org/officeDocument/2006/customXml" ds:itemID="{60D9A70A-4E70-420B-A7D9-76038436E094}">
  <ds:schemaRefs/>
</ds:datastoreItem>
</file>

<file path=customXml/itemProps19.xml><?xml version="1.0" encoding="utf-8"?>
<ds:datastoreItem xmlns:ds="http://schemas.openxmlformats.org/officeDocument/2006/customXml" ds:itemID="{956C275D-F4D7-4666-8767-50C3EF9FE4D3}">
  <ds:schemaRefs/>
</ds:datastoreItem>
</file>

<file path=customXml/itemProps20.xml><?xml version="1.0" encoding="utf-8"?>
<ds:datastoreItem xmlns:ds="http://schemas.openxmlformats.org/officeDocument/2006/customXml" ds:itemID="{FFB4B2C1-91DA-464E-9818-030AB065B2B7}">
  <ds:schemaRefs/>
</ds:datastoreItem>
</file>

<file path=customXml/itemProps21.xml><?xml version="1.0" encoding="utf-8"?>
<ds:datastoreItem xmlns:ds="http://schemas.openxmlformats.org/officeDocument/2006/customXml" ds:itemID="{FA774847-0D3B-4CD4-8C6E-6D4BE54A54F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Monthly Revenue</vt:lpstr>
      <vt:lpstr>customers</vt:lpstr>
      <vt:lpstr>Category By Revenue</vt:lpstr>
      <vt:lpstr>Cities By Revenue</vt:lpstr>
      <vt:lpstr>Country By Revenue</vt:lpstr>
      <vt:lpstr>project</vt:lpstr>
      <vt:lpstr>Final_Project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Charalampos Doxopoulos</cp:lastModifiedBy>
  <dcterms:created xsi:type="dcterms:W3CDTF">2025-06-30T15:56:43Z</dcterms:created>
  <dcterms:modified xsi:type="dcterms:W3CDTF">2025-06-30T16:46:06Z</dcterms:modified>
</cp:coreProperties>
</file>